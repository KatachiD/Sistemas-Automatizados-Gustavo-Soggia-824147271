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ANIMAEDU.002\Downloads\Sistemas-Automatizados-Gustavo-Soggia-824147271\Aula_3_02.09\"/>
    </mc:Choice>
  </mc:AlternateContent>
  <xr:revisionPtr revIDLastSave="0" documentId="8_{D850ADAC-1D4F-411E-AE96-E6F49F0AB1E1}" xr6:coauthVersionLast="36" xr6:coauthVersionMax="36" xr10:uidLastSave="{00000000-0000-0000-0000-000000000000}"/>
  <bookViews>
    <workbookView xWindow="0" yWindow="0" windowWidth="20400" windowHeight="7545" xr2:uid="{8B81F5ED-9DD4-458B-BE32-4D19704048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3" i="1"/>
  <c r="G4" i="1"/>
  <c r="G5" i="1"/>
  <c r="G6" i="1"/>
  <c r="G7" i="1"/>
  <c r="G8" i="1"/>
  <c r="F3" i="1"/>
  <c r="F4" i="1"/>
  <c r="F5" i="1"/>
  <c r="F6" i="1"/>
  <c r="F7" i="1"/>
  <c r="F8" i="1"/>
  <c r="F9" i="1"/>
  <c r="F10" i="1"/>
  <c r="F11" i="1"/>
  <c r="E4" i="1"/>
  <c r="E5" i="1"/>
  <c r="E6" i="1"/>
  <c r="E7" i="1"/>
  <c r="E8" i="1"/>
  <c r="E9" i="1"/>
  <c r="E10" i="1"/>
  <c r="E11" i="1"/>
  <c r="E3" i="1"/>
  <c r="E2" i="1"/>
  <c r="D3" i="1"/>
  <c r="D4" i="1"/>
  <c r="D5" i="1"/>
  <c r="D6" i="1"/>
  <c r="D7" i="1"/>
  <c r="D8" i="1"/>
  <c r="D9" i="1"/>
  <c r="D10" i="1"/>
  <c r="D11" i="1"/>
  <c r="D2" i="1"/>
  <c r="C2" i="1"/>
  <c r="G2" i="1" s="1"/>
  <c r="C3" i="1"/>
  <c r="C4" i="1"/>
  <c r="C5" i="1"/>
  <c r="C6" i="1"/>
  <c r="C7" i="1"/>
  <c r="C8" i="1"/>
  <c r="C9" i="1"/>
  <c r="C10" i="1"/>
  <c r="C11" i="1"/>
  <c r="F2" i="1" l="1"/>
</calcChain>
</file>

<file path=xl/sharedStrings.xml><?xml version="1.0" encoding="utf-8"?>
<sst xmlns="http://schemas.openxmlformats.org/spreadsheetml/2006/main" count="7" uniqueCount="7">
  <si>
    <t>Amostra</t>
  </si>
  <si>
    <t>Bruto</t>
  </si>
  <si>
    <t>Percentual</t>
  </si>
  <si>
    <t>Temperatura</t>
  </si>
  <si>
    <t>Corrente</t>
  </si>
  <si>
    <t>Tensão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</si>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</sst>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6406-218D-45FD-B02A-CA155D95C7EE}">
  <dimension ref="A1:G11"/>
  <sheetViews>
    <sheetView tabSelected="1" zoomScale="115" zoomScaleNormal="115" workbookViewId="0">
      <selection activeCell="C15" sqref="C15"/>
    </sheetView>
  </sheetViews>
  <sheetFormatPr defaultRowHeight="15" x14ac:dyDescent="0.25"/>
  <cols>
    <col min="3" max="3" width="13.7109375" bestFit="1" customWidth="1"/>
    <col min="4" max="4" width="12.42578125" bestFit="1" customWidth="1"/>
    <col min="5" max="5" width="8.85546875" bestFit="1" customWidth="1"/>
    <col min="6" max="6" width="7.28515625" bestFit="1" customWidth="1"/>
    <col min="7" max="7" width="8.710937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3">
        <v>1</v>
      </c>
      <c r="B2" s="5">
        <v>0</v>
      </c>
      <c r="C2" s="6">
        <f>(100*B2)/1023</f>
        <v>0</v>
      </c>
      <c r="D2" s="6">
        <f>(100*B2)/1023</f>
        <v>0</v>
      </c>
      <c r="E2" s="7">
        <f>4+16*C2/100</f>
        <v>4</v>
      </c>
      <c r="F2" s="7">
        <f>10*C2/100</f>
        <v>0</v>
      </c>
      <c r="G2" s="1" t="str">
        <f t="shared" ref="G2:G11" si="0">IF(AND(C2&gt;=0, C2&lt;70),"Normal",IF(AND(C2&gt;=70, C2&lt;85),"Atenção",IF(AND(C2&gt;=85, C2&lt;=100),"Perigo","Falha")))</f>
        <v>Normal</v>
      </c>
    </row>
    <row r="3" spans="1:7" x14ac:dyDescent="0.25">
      <c r="A3" s="2">
        <v>2</v>
      </c>
      <c r="B3" s="5">
        <v>1023</v>
      </c>
      <c r="C3" s="6">
        <f>(100*B3)/1023</f>
        <v>100</v>
      </c>
      <c r="D3" s="6">
        <f t="shared" ref="D3:D11" si="1">(100*B3)/1023</f>
        <v>100</v>
      </c>
      <c r="E3" s="7">
        <f>4+16*C3/100</f>
        <v>20</v>
      </c>
      <c r="F3" s="7">
        <f t="shared" ref="F3:F11" si="2">10*C3/100</f>
        <v>10</v>
      </c>
      <c r="G3" s="1" t="str">
        <f t="shared" si="0"/>
        <v>Perigo</v>
      </c>
    </row>
    <row r="4" spans="1:7" x14ac:dyDescent="0.25">
      <c r="A4" s="2">
        <v>3</v>
      </c>
      <c r="B4" s="5">
        <v>512</v>
      </c>
      <c r="C4" s="6">
        <f t="shared" ref="C4:D11" si="3">(100*B4)/1023</f>
        <v>50.048875855327466</v>
      </c>
      <c r="D4" s="6">
        <f t="shared" si="1"/>
        <v>50.048875855327466</v>
      </c>
      <c r="E4" s="7">
        <f t="shared" ref="E4:E11" si="4">4+16*C4/100</f>
        <v>12.007820136852395</v>
      </c>
      <c r="F4" s="7">
        <f t="shared" si="2"/>
        <v>5.0048875855327468</v>
      </c>
      <c r="G4" s="1" t="str">
        <f t="shared" si="0"/>
        <v>Normal</v>
      </c>
    </row>
    <row r="5" spans="1:7" x14ac:dyDescent="0.25">
      <c r="A5" s="2">
        <v>4</v>
      </c>
      <c r="B5" s="5">
        <v>311</v>
      </c>
      <c r="C5" s="6">
        <f t="shared" si="3"/>
        <v>30.400782013685241</v>
      </c>
      <c r="D5" s="6">
        <f t="shared" si="1"/>
        <v>30.400782013685241</v>
      </c>
      <c r="E5" s="7">
        <f t="shared" si="4"/>
        <v>8.8641251221896376</v>
      </c>
      <c r="F5" s="7">
        <f t="shared" si="2"/>
        <v>3.0400782013685239</v>
      </c>
      <c r="G5" s="1" t="str">
        <f t="shared" si="0"/>
        <v>Normal</v>
      </c>
    </row>
    <row r="6" spans="1:7" x14ac:dyDescent="0.25">
      <c r="A6" s="2">
        <v>5</v>
      </c>
      <c r="B6" s="5">
        <v>34</v>
      </c>
      <c r="C6" s="6">
        <f t="shared" si="3"/>
        <v>3.3235581622678398</v>
      </c>
      <c r="D6" s="6">
        <f t="shared" si="1"/>
        <v>3.3235581622678398</v>
      </c>
      <c r="E6" s="7">
        <f t="shared" si="4"/>
        <v>4.5317693059628539</v>
      </c>
      <c r="F6" s="7">
        <f t="shared" si="2"/>
        <v>0.33235581622678395</v>
      </c>
      <c r="G6" s="1" t="str">
        <f t="shared" si="0"/>
        <v>Normal</v>
      </c>
    </row>
    <row r="7" spans="1:7" x14ac:dyDescent="0.25">
      <c r="A7" s="2">
        <v>6</v>
      </c>
      <c r="B7" s="5">
        <v>712</v>
      </c>
      <c r="C7" s="6">
        <f t="shared" si="3"/>
        <v>69.599217986314756</v>
      </c>
      <c r="D7" s="6">
        <f t="shared" si="1"/>
        <v>69.599217986314756</v>
      </c>
      <c r="E7" s="7">
        <f t="shared" si="4"/>
        <v>15.135874877810361</v>
      </c>
      <c r="F7" s="7">
        <f t="shared" si="2"/>
        <v>6.9599217986314761</v>
      </c>
      <c r="G7" s="1" t="str">
        <f t="shared" si="0"/>
        <v>Normal</v>
      </c>
    </row>
    <row r="8" spans="1:7" x14ac:dyDescent="0.25">
      <c r="A8" s="2">
        <v>7</v>
      </c>
      <c r="B8" s="5">
        <v>887</v>
      </c>
      <c r="C8" s="6">
        <f t="shared" si="3"/>
        <v>86.705767350928639</v>
      </c>
      <c r="D8" s="6">
        <f t="shared" si="1"/>
        <v>86.705767350928639</v>
      </c>
      <c r="E8" s="7">
        <f t="shared" si="4"/>
        <v>17.872922776148584</v>
      </c>
      <c r="F8" s="7">
        <f t="shared" si="2"/>
        <v>8.6705767350928635</v>
      </c>
      <c r="G8" s="1" t="str">
        <f>IF(AND(C8&gt;=0, C8&lt;70),"Normal",IF(AND(C8&gt;=70, C8&lt;85),"Atenção",IF(AND(C8&gt;=85, C8&lt;=100),"Perigo","Falha")))</f>
        <v>Perigo</v>
      </c>
    </row>
    <row r="9" spans="1:7" x14ac:dyDescent="0.25">
      <c r="A9" s="2">
        <v>8</v>
      </c>
      <c r="B9" s="5">
        <v>413</v>
      </c>
      <c r="C9" s="6">
        <f t="shared" si="3"/>
        <v>40.371456500488762</v>
      </c>
      <c r="D9" s="6">
        <f t="shared" si="1"/>
        <v>40.371456500488762</v>
      </c>
      <c r="E9" s="7">
        <f t="shared" si="4"/>
        <v>10.459433040078203</v>
      </c>
      <c r="F9" s="7">
        <f t="shared" si="2"/>
        <v>4.0371456500488758</v>
      </c>
      <c r="G9" s="1" t="str">
        <f t="shared" si="0"/>
        <v>Normal</v>
      </c>
    </row>
    <row r="10" spans="1:7" x14ac:dyDescent="0.25">
      <c r="A10" s="2">
        <v>9</v>
      </c>
      <c r="B10" s="5">
        <v>208</v>
      </c>
      <c r="C10" s="6">
        <f t="shared" si="3"/>
        <v>20.332355816226784</v>
      </c>
      <c r="D10" s="6">
        <f t="shared" si="1"/>
        <v>20.332355816226784</v>
      </c>
      <c r="E10" s="7">
        <f t="shared" si="4"/>
        <v>7.2531769305962852</v>
      </c>
      <c r="F10" s="7">
        <f t="shared" si="2"/>
        <v>2.0332355816226784</v>
      </c>
      <c r="G10" s="1" t="str">
        <f t="shared" si="0"/>
        <v>Normal</v>
      </c>
    </row>
    <row r="11" spans="1:7" x14ac:dyDescent="0.25">
      <c r="A11" s="2">
        <v>10</v>
      </c>
      <c r="B11" s="5">
        <v>940</v>
      </c>
      <c r="C11" s="6">
        <f t="shared" si="3"/>
        <v>91.886608015640277</v>
      </c>
      <c r="D11" s="6">
        <f t="shared" si="1"/>
        <v>91.886608015640277</v>
      </c>
      <c r="E11" s="7">
        <f t="shared" si="4"/>
        <v>18.701857282502445</v>
      </c>
      <c r="F11" s="7">
        <f t="shared" si="2"/>
        <v>9.1886608015640281</v>
      </c>
      <c r="G11" s="1" t="str">
        <f t="shared" si="0"/>
        <v>Perigo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Pereira Soggia</dc:creator>
  <cp:lastModifiedBy>Gustavo Pereira Soggia</cp:lastModifiedBy>
  <dcterms:created xsi:type="dcterms:W3CDTF">2026-09-09T20:23:44Z</dcterms:created>
  <dcterms:modified xsi:type="dcterms:W3CDTF">2026-09-09T20:59:50Z</dcterms:modified>
</cp:coreProperties>
</file>